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Slip Data" sheetId="1" state="visible" r:id="rId1"/>
    <sheet xmlns:r="http://schemas.openxmlformats.org/officeDocument/2006/relationships" name="Formula Guide" sheetId="2" state="visible" r:id="rId2"/>
  </sheets>
  <definedNames>
    <definedName name="_xlnm._FilterDatabase" localSheetId="0" hidden="1">'Salary Slip Data'!$B$5:$K$14</definedName>
    <definedName name="_xlnm.Print_Area" localSheetId="0">'Salary Slip Data'!$B$2:$K$14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3"/>
    </font>
    <font>
      <b val="1"/>
      <color rgb="00FFFFFF"/>
      <sz val="12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C65911"/>
      </patternFill>
    </fill>
    <fill>
      <patternFill patternType="solid">
        <fgColor rgb="001F4E78"/>
      </patternFill>
    </fill>
    <fill>
      <patternFill patternType="solid">
        <fgColor rgb="00FF0000"/>
      </patternFill>
    </fill>
    <fill>
      <patternFill patternType="solid">
        <fgColor rgb="008497B0"/>
      </patternFill>
    </fill>
    <fill>
      <patternFill patternType="solid">
        <fgColor rgb="0092D050"/>
      </patternFill>
    </fill>
    <fill>
      <patternFill patternType="solid">
        <fgColor rgb="002F75B5"/>
      </patternFill>
    </fill>
    <fill>
      <patternFill patternType="solid">
        <fgColor rgb="00FFD966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right" vertical="center"/>
    </xf>
    <xf numFmtId="164" fontId="0" fillId="1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0" fillId="11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6" customWidth="1" min="4" max="4"/>
    <col width="17" customWidth="1" min="5" max="5"/>
    <col width="17" customWidth="1" min="6" max="6"/>
    <col width="20" customWidth="1" min="7" max="7"/>
    <col width="17" customWidth="1" min="8" max="8"/>
    <col width="14" customWidth="1" min="9" max="9"/>
    <col width="16" customWidth="1" min="10" max="10"/>
    <col width="17" customWidth="1" min="11" max="11"/>
  </cols>
  <sheetData>
    <row r="2" ht="34" customHeight="1">
      <c r="B2" s="1" t="inlineStr">
        <is>
          <t>Salary Slip Format of SOFTEKO</t>
        </is>
      </c>
    </row>
    <row r="4" ht="34" customHeight="1">
      <c r="B4" s="2" t="inlineStr">
        <is>
          <t>Employee</t>
        </is>
      </c>
      <c r="C4" s="2" t="inlineStr">
        <is>
          <t>ID</t>
        </is>
      </c>
      <c r="D4" s="2" t="inlineStr">
        <is>
          <t>Basic Salary</t>
        </is>
      </c>
      <c r="E4" s="3" t="inlineStr">
        <is>
          <t>Payments</t>
        </is>
      </c>
      <c r="F4" s="4" t="n"/>
      <c r="G4" s="4" t="n"/>
      <c r="H4" s="4" t="n"/>
      <c r="I4" s="5" t="inlineStr">
        <is>
          <t>Deductions</t>
        </is>
      </c>
      <c r="J4" s="4" t="n"/>
      <c r="K4" s="6" t="inlineStr">
        <is>
          <t>Net Payable</t>
        </is>
      </c>
    </row>
    <row r="5" ht="48" customHeight="1">
      <c r="B5" s="4" t="n"/>
      <c r="C5" s="4" t="n"/>
      <c r="D5" s="4" t="n"/>
      <c r="E5" s="7" t="inlineStr">
        <is>
          <t>Medical</t>
        </is>
      </c>
      <c r="F5" s="7" t="inlineStr">
        <is>
          <t>House Rent</t>
        </is>
      </c>
      <c r="G5" s="7" t="inlineStr">
        <is>
          <t>Transportation</t>
        </is>
      </c>
      <c r="H5" s="8" t="inlineStr">
        <is>
          <t>Gross Total</t>
        </is>
      </c>
      <c r="I5" s="9" t="inlineStr">
        <is>
          <t>PF</t>
        </is>
      </c>
      <c r="J5" s="9" t="inlineStr">
        <is>
          <t>Income Tax</t>
        </is>
      </c>
      <c r="K5" s="4" t="n"/>
    </row>
    <row r="6" ht="26" customHeight="1">
      <c r="B6" s="10" t="inlineStr">
        <is>
          <t>Vinchant</t>
        </is>
      </c>
      <c r="C6" s="10" t="n">
        <v>2001</v>
      </c>
      <c r="D6" s="11" t="n">
        <v>74808</v>
      </c>
      <c r="E6" s="12">
        <f>D6*15%</f>
        <v/>
      </c>
      <c r="F6" s="12">
        <f>D6*35%</f>
        <v/>
      </c>
      <c r="G6" s="12">
        <f>D6*10%</f>
        <v/>
      </c>
      <c r="H6" s="13">
        <f>SUM(D6:G6)</f>
        <v/>
      </c>
      <c r="I6" s="13">
        <f>H6*7.5%</f>
        <v/>
      </c>
      <c r="J6" s="13">
        <f>H6*7.5%</f>
        <v/>
      </c>
      <c r="K6" s="14">
        <f>H6-I6-J6</f>
        <v/>
      </c>
    </row>
    <row r="7" ht="26" customHeight="1">
      <c r="B7" s="10" t="inlineStr">
        <is>
          <t>Keat</t>
        </is>
      </c>
      <c r="C7" s="10" t="n">
        <v>2002</v>
      </c>
      <c r="D7" s="11" t="n">
        <v>54887</v>
      </c>
      <c r="E7" s="12">
        <f>D7*15%</f>
        <v/>
      </c>
      <c r="F7" s="12">
        <f>D7*35%</f>
        <v/>
      </c>
      <c r="G7" s="12">
        <f>D7*10%</f>
        <v/>
      </c>
      <c r="H7" s="13">
        <f>SUM(D7:G7)</f>
        <v/>
      </c>
      <c r="I7" s="13">
        <f>H7*7.5%</f>
        <v/>
      </c>
      <c r="J7" s="13">
        <f>H7*7.5%</f>
        <v/>
      </c>
      <c r="K7" s="14">
        <f>H7-I7-J7</f>
        <v/>
      </c>
    </row>
    <row r="8" ht="26" customHeight="1">
      <c r="B8" s="10" t="inlineStr">
        <is>
          <t>Emma</t>
        </is>
      </c>
      <c r="C8" s="10" t="n">
        <v>2003</v>
      </c>
      <c r="D8" s="11" t="n">
        <v>73457</v>
      </c>
      <c r="E8" s="12">
        <f>D8*15%</f>
        <v/>
      </c>
      <c r="F8" s="12">
        <f>D8*35%</f>
        <v/>
      </c>
      <c r="G8" s="12">
        <f>D8*10%</f>
        <v/>
      </c>
      <c r="H8" s="13">
        <f>SUM(D8:G8)</f>
        <v/>
      </c>
      <c r="I8" s="13">
        <f>H8*7.5%</f>
        <v/>
      </c>
      <c r="J8" s="13">
        <f>H8*7.5%</f>
        <v/>
      </c>
      <c r="K8" s="14">
        <f>H8-I8-J8</f>
        <v/>
      </c>
    </row>
    <row r="9" ht="26" customHeight="1">
      <c r="B9" s="10" t="inlineStr">
        <is>
          <t>Joe</t>
        </is>
      </c>
      <c r="C9" s="10" t="n">
        <v>2004</v>
      </c>
      <c r="D9" s="11" t="n">
        <v>56102</v>
      </c>
      <c r="E9" s="12">
        <f>D9*15%</f>
        <v/>
      </c>
      <c r="F9" s="12">
        <f>D9*35%</f>
        <v/>
      </c>
      <c r="G9" s="12">
        <f>D9*10%</f>
        <v/>
      </c>
      <c r="H9" s="13">
        <f>SUM(D9:G9)</f>
        <v/>
      </c>
      <c r="I9" s="13">
        <f>H9*7.5%</f>
        <v/>
      </c>
      <c r="J9" s="13">
        <f>H9*7.5%</f>
        <v/>
      </c>
      <c r="K9" s="14">
        <f>H9-I9-J9</f>
        <v/>
      </c>
    </row>
    <row r="10" ht="26" customHeight="1">
      <c r="B10" s="10" t="inlineStr">
        <is>
          <t>Trump</t>
        </is>
      </c>
      <c r="C10" s="10" t="n">
        <v>2005</v>
      </c>
      <c r="D10" s="11" t="n">
        <v>61914</v>
      </c>
      <c r="E10" s="12">
        <f>D10*15%</f>
        <v/>
      </c>
      <c r="F10" s="12">
        <f>D10*35%</f>
        <v/>
      </c>
      <c r="G10" s="12">
        <f>D10*10%</f>
        <v/>
      </c>
      <c r="H10" s="13">
        <f>SUM(D10:G10)</f>
        <v/>
      </c>
      <c r="I10" s="13">
        <f>H10*7.5%</f>
        <v/>
      </c>
      <c r="J10" s="13">
        <f>H10*7.5%</f>
        <v/>
      </c>
      <c r="K10" s="14">
        <f>H10-I10-J10</f>
        <v/>
      </c>
    </row>
    <row r="11" ht="26" customHeight="1">
      <c r="B11" s="10" t="inlineStr">
        <is>
          <t>Dalton</t>
        </is>
      </c>
      <c r="C11" s="10" t="n">
        <v>2006</v>
      </c>
      <c r="D11" s="11" t="n">
        <v>61119</v>
      </c>
      <c r="E11" s="12">
        <f>D11*15%</f>
        <v/>
      </c>
      <c r="F11" s="12">
        <f>D11*35%</f>
        <v/>
      </c>
      <c r="G11" s="12">
        <f>D11*10%</f>
        <v/>
      </c>
      <c r="H11" s="13">
        <f>SUM(D11:G11)</f>
        <v/>
      </c>
      <c r="I11" s="13">
        <f>H11*7.5%</f>
        <v/>
      </c>
      <c r="J11" s="13">
        <f>H11*7.5%</f>
        <v/>
      </c>
      <c r="K11" s="14">
        <f>H11-I11-J11</f>
        <v/>
      </c>
    </row>
    <row r="12" ht="26" customHeight="1">
      <c r="B12" s="10" t="inlineStr">
        <is>
          <t>Carlos</t>
        </is>
      </c>
      <c r="C12" s="10" t="n">
        <v>2007</v>
      </c>
      <c r="D12" s="11" t="n">
        <v>55513</v>
      </c>
      <c r="E12" s="12">
        <f>D12*15%</f>
        <v/>
      </c>
      <c r="F12" s="12">
        <f>D12*35%</f>
        <v/>
      </c>
      <c r="G12" s="12">
        <f>D12*10%</f>
        <v/>
      </c>
      <c r="H12" s="13">
        <f>SUM(D12:G12)</f>
        <v/>
      </c>
      <c r="I12" s="13">
        <f>H12*7.5%</f>
        <v/>
      </c>
      <c r="J12" s="13">
        <f>H12*7.5%</f>
        <v/>
      </c>
      <c r="K12" s="14">
        <f>H12-I12-J12</f>
        <v/>
      </c>
    </row>
    <row r="13" ht="26" customHeight="1">
      <c r="B13" s="10" t="inlineStr">
        <is>
          <t>Potter</t>
        </is>
      </c>
      <c r="C13" s="10" t="n">
        <v>2008</v>
      </c>
      <c r="D13" s="11" t="n">
        <v>59756</v>
      </c>
      <c r="E13" s="12">
        <f>D13*15%</f>
        <v/>
      </c>
      <c r="F13" s="12">
        <f>D13*35%</f>
        <v/>
      </c>
      <c r="G13" s="12">
        <f>D13*10%</f>
        <v/>
      </c>
      <c r="H13" s="13">
        <f>SUM(D13:G13)</f>
        <v/>
      </c>
      <c r="I13" s="13">
        <f>H13*7.5%</f>
        <v/>
      </c>
      <c r="J13" s="13">
        <f>H13*7.5%</f>
        <v/>
      </c>
      <c r="K13" s="14">
        <f>H13-I13-J13</f>
        <v/>
      </c>
    </row>
    <row r="14" ht="26" customHeight="1">
      <c r="B14" s="10" t="inlineStr">
        <is>
          <t>Cathy</t>
        </is>
      </c>
      <c r="C14" s="10" t="n">
        <v>2009</v>
      </c>
      <c r="D14" s="11" t="n">
        <v>76331</v>
      </c>
      <c r="E14" s="12">
        <f>D14*15%</f>
        <v/>
      </c>
      <c r="F14" s="12">
        <f>D14*35%</f>
        <v/>
      </c>
      <c r="G14" s="12">
        <f>D14*10%</f>
        <v/>
      </c>
      <c r="H14" s="13">
        <f>SUM(D14:G14)</f>
        <v/>
      </c>
      <c r="I14" s="13">
        <f>H14*7.5%</f>
        <v/>
      </c>
      <c r="J14" s="13">
        <f>H14*7.5%</f>
        <v/>
      </c>
      <c r="K14" s="14">
        <f>H14-I14-J14</f>
        <v/>
      </c>
    </row>
  </sheetData>
  <autoFilter ref="B5:K14"/>
  <mergeCells count="7">
    <mergeCell ref="I4:J4"/>
    <mergeCell ref="B4:B5"/>
    <mergeCell ref="C4:C5"/>
    <mergeCell ref="D4:D5"/>
    <mergeCell ref="E4:H4"/>
    <mergeCell ref="K4:K5"/>
    <mergeCell ref="B2:K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8" customWidth="1" min="3" max="3"/>
  </cols>
  <sheetData>
    <row r="1">
      <c r="A1" s="15" t="inlineStr">
        <is>
          <t>Column</t>
        </is>
      </c>
      <c r="B1" s="15" t="inlineStr">
        <is>
          <t>Formula / Rule</t>
        </is>
      </c>
      <c r="C1" s="15" t="inlineStr">
        <is>
          <t>Meaning</t>
        </is>
      </c>
    </row>
    <row r="2">
      <c r="A2" s="16" t="inlineStr">
        <is>
          <t>Medical Allowance</t>
        </is>
      </c>
      <c r="B2" s="16" t="inlineStr">
        <is>
          <t>Basic Salary × 15%</t>
        </is>
      </c>
      <c r="C2" s="16" t="inlineStr">
        <is>
          <t>Medical allowance is 15% of basic salary.</t>
        </is>
      </c>
    </row>
    <row r="3">
      <c r="A3" s="16" t="inlineStr">
        <is>
          <t>House Rent</t>
        </is>
      </c>
      <c r="B3" s="16" t="inlineStr">
        <is>
          <t>Basic Salary × 35%</t>
        </is>
      </c>
      <c r="C3" s="16" t="inlineStr">
        <is>
          <t>House rent allowance is 35% of basic salary.</t>
        </is>
      </c>
    </row>
    <row r="4">
      <c r="A4" s="16" t="inlineStr">
        <is>
          <t>Transportation</t>
        </is>
      </c>
      <c r="B4" s="16" t="inlineStr">
        <is>
          <t>Basic Salary × 10%</t>
        </is>
      </c>
      <c r="C4" s="16" t="inlineStr">
        <is>
          <t>Transportation allowance is 10% of basic salary.</t>
        </is>
      </c>
    </row>
    <row r="5">
      <c r="A5" s="16" t="inlineStr">
        <is>
          <t>Gross Total</t>
        </is>
      </c>
      <c r="B5" s="16" t="inlineStr">
        <is>
          <t>Basic Salary + all allowances</t>
        </is>
      </c>
      <c r="C5" s="16" t="inlineStr">
        <is>
          <t>Total salary before deductions.</t>
        </is>
      </c>
    </row>
    <row r="6">
      <c r="A6" s="16" t="inlineStr">
        <is>
          <t>PF</t>
        </is>
      </c>
      <c r="B6" s="16" t="inlineStr">
        <is>
          <t>Gross Total × 7.5%</t>
        </is>
      </c>
      <c r="C6" s="16" t="inlineStr">
        <is>
          <t>PF deduction is 7.5% of gross total.</t>
        </is>
      </c>
    </row>
    <row r="7">
      <c r="A7" s="16" t="inlineStr">
        <is>
          <t>Income Tax</t>
        </is>
      </c>
      <c r="B7" s="16" t="inlineStr">
        <is>
          <t>Gross Total × 7.5%</t>
        </is>
      </c>
      <c r="C7" s="16" t="inlineStr">
        <is>
          <t>Income tax deduction is 7.5% of gross total.</t>
        </is>
      </c>
    </row>
    <row r="8">
      <c r="A8" s="16" t="inlineStr">
        <is>
          <t>Net Payable</t>
        </is>
      </c>
      <c r="B8" s="16" t="inlineStr">
        <is>
          <t>Gross Total − PF − Income Tax</t>
        </is>
      </c>
      <c r="C8" s="16" t="inlineStr">
        <is>
          <t>Example formula: =H6-I6-J6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2026-10-21T06:31:22Z</dcterms:created>
  <dcterms:modified xmlns:dcterms="http://purl.org/dc/terms/" xmlns:xsi="http://www.w3.org/2001/XMLSchema-instance" xsi:type="dcterms:W3CDTF">2026-10-21T06:31:22Z</dcterms:modified>
</cp:coreProperties>
</file>