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heet India" sheetId="1" state="visible" r:id="rId1"/>
    <sheet xmlns:r="http://schemas.openxmlformats.org/officeDocument/2006/relationships" name="Formula Guide" sheetId="2" state="visible" r:id="rId2"/>
  </sheets>
  <definedNames>
    <definedName name="_xlnm._FilterDatabase" localSheetId="0" hidden="1">'Salary Sheet India'!$A$7:$N$24</definedName>
    <definedName name="_xlnm.Print_Area" localSheetId="0">'Salary Sheet India'!$A$1:$N$24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b val="1"/>
      <color rgb="00C00000"/>
      <sz val="18"/>
    </font>
    <font>
      <b val="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66A50"/>
      </left>
      <right style="thin">
        <color rgb="00B66A50"/>
      </right>
      <top style="thin">
        <color rgb="00B66A50"/>
      </top>
      <bottom style="thin">
        <color rgb="00B66A5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9" customWidth="1" min="3" max="3"/>
    <col width="20" customWidth="1" min="4" max="4"/>
    <col width="13" customWidth="1" min="5" max="5"/>
    <col width="14" customWidth="1" min="6" max="6"/>
    <col width="11" customWidth="1" min="7" max="7"/>
    <col width="12" customWidth="1" min="8" max="8"/>
    <col width="13" customWidth="1" min="9" max="9"/>
    <col width="17" customWidth="1" min="10" max="10"/>
    <col width="14" customWidth="1" min="11" max="11"/>
    <col width="17" customWidth="1" min="12" max="12"/>
    <col width="17" customWidth="1" min="13" max="13"/>
    <col width="22" customWidth="1" min="14" max="14"/>
  </cols>
  <sheetData>
    <row r="1" ht="34" customHeight="1">
      <c r="A1" s="1" t="inlineStr">
        <is>
          <t>SALARY SHEET TEMPLATE - INDIA</t>
        </is>
      </c>
    </row>
    <row r="2">
      <c r="A2" s="2" t="inlineStr">
        <is>
          <t>Company Name:</t>
        </is>
      </c>
      <c r="B2" s="3" t="inlineStr">
        <is>
          <t>Company Name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inlineStr">
        <is>
          <t>Address:</t>
        </is>
      </c>
      <c r="B3" s="3" t="inlineStr">
        <is>
          <t>Company Address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2" t="inlineStr">
        <is>
          <t>Salary Sheet For The Month Of</t>
        </is>
      </c>
      <c r="E4" s="3" t="n"/>
      <c r="F4" s="3" t="n"/>
      <c r="G4" s="3" t="inlineStr">
        <is>
          <t>January</t>
        </is>
      </c>
      <c r="H4" s="2" t="inlineStr">
        <is>
          <t>Year</t>
        </is>
      </c>
      <c r="I4" s="3" t="n">
        <v>2021</v>
      </c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2" t="inlineStr">
        <is>
          <t>Working Days:</t>
        </is>
      </c>
      <c r="E5" s="3" t="n"/>
      <c r="F5" s="3" t="n">
        <v>31</v>
      </c>
      <c r="G5" s="2" t="inlineStr">
        <is>
          <t>Allowed Leaves:</t>
        </is>
      </c>
      <c r="H5" s="3" t="n"/>
      <c r="I5" s="3" t="n">
        <v>2</v>
      </c>
      <c r="J5" s="3" t="n"/>
      <c r="K5" s="3" t="n"/>
      <c r="L5" s="3" t="n"/>
      <c r="M5" s="3" t="n"/>
      <c r="N5" s="3" t="n"/>
    </row>
    <row r="7" ht="48" customHeight="1">
      <c r="A7" s="4" t="inlineStr">
        <is>
          <t>Sr. No</t>
        </is>
      </c>
      <c r="B7" s="4" t="inlineStr">
        <is>
          <t>Employee UID</t>
        </is>
      </c>
      <c r="C7" s="4" t="inlineStr">
        <is>
          <t>Employee Name</t>
        </is>
      </c>
      <c r="D7" s="4" t="inlineStr">
        <is>
          <t>Designation</t>
        </is>
      </c>
      <c r="E7" s="4" t="inlineStr">
        <is>
          <t>Department</t>
        </is>
      </c>
      <c r="F7" s="4" t="inlineStr">
        <is>
          <t>Location</t>
        </is>
      </c>
      <c r="G7" s="4" t="inlineStr">
        <is>
          <t>Gender</t>
        </is>
      </c>
      <c r="H7" s="4" t="inlineStr">
        <is>
          <t>Leave Taken</t>
        </is>
      </c>
      <c r="I7" s="4" t="inlineStr">
        <is>
          <t>Days Payable</t>
        </is>
      </c>
      <c r="J7" s="4" t="inlineStr">
        <is>
          <t>CTC January 2021</t>
        </is>
      </c>
      <c r="K7" s="4" t="inlineStr">
        <is>
          <t>Net Salary</t>
        </is>
      </c>
      <c r="L7" s="4" t="inlineStr">
        <is>
          <t>Bank Name</t>
        </is>
      </c>
      <c r="M7" s="4" t="inlineStr">
        <is>
          <t>Branch</t>
        </is>
      </c>
      <c r="N7" s="4" t="inlineStr">
        <is>
          <t>Bank Account Number</t>
        </is>
      </c>
    </row>
    <row r="8" ht="24" customHeight="1">
      <c r="A8" s="3" t="n">
        <v>1</v>
      </c>
      <c r="B8" s="3" t="inlineStr">
        <is>
          <t>AS2101</t>
        </is>
      </c>
      <c r="C8" s="3" t="inlineStr">
        <is>
          <t>Astha Puri</t>
        </is>
      </c>
      <c r="D8" s="3" t="inlineStr">
        <is>
          <t>Developer</t>
        </is>
      </c>
      <c r="E8" s="3" t="inlineStr">
        <is>
          <t>A</t>
        </is>
      </c>
      <c r="F8" s="3" t="inlineStr">
        <is>
          <t>Metro</t>
        </is>
      </c>
      <c r="G8" s="3" t="inlineStr">
        <is>
          <t>Female</t>
        </is>
      </c>
      <c r="H8" s="3" t="n">
        <v>7</v>
      </c>
      <c r="I8" s="5">
        <f>MAX(0,$F$5-MAX(0,H8-$I$5))</f>
        <v/>
      </c>
      <c r="J8" s="6" t="n">
        <v>25000</v>
      </c>
      <c r="K8" s="7" t="n">
        <v>16286</v>
      </c>
      <c r="L8" s="3" t="inlineStr">
        <is>
          <t>ABC Bank 1</t>
        </is>
      </c>
      <c r="M8" s="3" t="inlineStr">
        <is>
          <t>DEF Branch 1</t>
        </is>
      </c>
      <c r="N8" s="3" t="inlineStr">
        <is>
          <t>1000000001</t>
        </is>
      </c>
    </row>
    <row r="9" ht="24" customHeight="1">
      <c r="A9" s="3" t="n">
        <v>2</v>
      </c>
      <c r="B9" s="3" t="inlineStr">
        <is>
          <t>AS2102</t>
        </is>
      </c>
      <c r="C9" s="3" t="inlineStr">
        <is>
          <t>Bijal Pande</t>
        </is>
      </c>
      <c r="D9" s="3" t="inlineStr">
        <is>
          <t>Graphic Designer</t>
        </is>
      </c>
      <c r="E9" s="3" t="inlineStr">
        <is>
          <t>B</t>
        </is>
      </c>
      <c r="F9" s="3" t="inlineStr">
        <is>
          <t>Metro</t>
        </is>
      </c>
      <c r="G9" s="3" t="inlineStr">
        <is>
          <t>Female</t>
        </is>
      </c>
      <c r="H9" s="3" t="n">
        <v>2</v>
      </c>
      <c r="I9" s="5">
        <f>MAX(0,$F$5-MAX(0,H9-$I$5))</f>
        <v/>
      </c>
      <c r="J9" s="6" t="n">
        <v>15000</v>
      </c>
      <c r="K9" s="7" t="n">
        <v>13700</v>
      </c>
      <c r="L9" s="3" t="inlineStr">
        <is>
          <t>ABC Bank 2</t>
        </is>
      </c>
      <c r="M9" s="3" t="inlineStr">
        <is>
          <t>DEF Branch 2</t>
        </is>
      </c>
      <c r="N9" s="3" t="inlineStr">
        <is>
          <t>1000000002</t>
        </is>
      </c>
    </row>
    <row r="10" ht="24" customHeight="1">
      <c r="A10" s="3" t="n">
        <v>3</v>
      </c>
      <c r="B10" s="3" t="inlineStr">
        <is>
          <t>AS2103</t>
        </is>
      </c>
      <c r="C10" s="3" t="inlineStr">
        <is>
          <t>Chirag Sharma</t>
        </is>
      </c>
      <c r="D10" s="3" t="inlineStr">
        <is>
          <t>Sr. Developer</t>
        </is>
      </c>
      <c r="E10" s="3" t="inlineStr">
        <is>
          <t>C</t>
        </is>
      </c>
      <c r="F10" s="3" t="inlineStr">
        <is>
          <t>Metro</t>
        </is>
      </c>
      <c r="G10" s="3" t="inlineStr">
        <is>
          <t>Male</t>
        </is>
      </c>
      <c r="H10" s="3" t="n">
        <v>2</v>
      </c>
      <c r="I10" s="5">
        <f>MAX(0,$F$5-MAX(0,H10-$I$5))</f>
        <v/>
      </c>
      <c r="J10" s="6" t="n">
        <v>18000</v>
      </c>
      <c r="K10" s="7" t="n">
        <v>16190</v>
      </c>
      <c r="L10" s="3" t="inlineStr">
        <is>
          <t>ABC Bank 3</t>
        </is>
      </c>
      <c r="M10" s="3" t="inlineStr">
        <is>
          <t>DEF Branch 3</t>
        </is>
      </c>
      <c r="N10" s="3" t="inlineStr">
        <is>
          <t>1000000003</t>
        </is>
      </c>
    </row>
    <row r="11" ht="24" customHeight="1">
      <c r="A11" s="3" t="n">
        <v>4</v>
      </c>
      <c r="B11" s="3" t="inlineStr">
        <is>
          <t>AS2104</t>
        </is>
      </c>
      <c r="C11" s="3" t="inlineStr">
        <is>
          <t>Divya Soni</t>
        </is>
      </c>
      <c r="D11" s="3" t="inlineStr">
        <is>
          <t>Graphic Designer</t>
        </is>
      </c>
      <c r="E11" s="3" t="inlineStr">
        <is>
          <t>D</t>
        </is>
      </c>
      <c r="F11" s="3" t="inlineStr">
        <is>
          <t>Metro</t>
        </is>
      </c>
      <c r="G11" s="3" t="inlineStr">
        <is>
          <t>Female</t>
        </is>
      </c>
      <c r="H11" s="3" t="n">
        <v>2</v>
      </c>
      <c r="I11" s="5">
        <f>MAX(0,$F$5-MAX(0,H11-$I$5))</f>
        <v/>
      </c>
      <c r="J11" s="6" t="n">
        <v>14500</v>
      </c>
      <c r="K11" s="7" t="n">
        <v>13200</v>
      </c>
      <c r="L11" s="3" t="inlineStr">
        <is>
          <t>ABC Bank 4</t>
        </is>
      </c>
      <c r="M11" s="3" t="inlineStr">
        <is>
          <t>DEF Branch 4</t>
        </is>
      </c>
      <c r="N11" s="3" t="inlineStr">
        <is>
          <t>1000000004</t>
        </is>
      </c>
    </row>
    <row r="12" ht="24" customHeight="1">
      <c r="A12" s="3" t="n">
        <v>5</v>
      </c>
      <c r="B12" s="3" t="inlineStr">
        <is>
          <t>AS2105</t>
        </is>
      </c>
      <c r="C12" s="3" t="inlineStr">
        <is>
          <t>Erum Rastogi</t>
        </is>
      </c>
      <c r="D12" s="3" t="inlineStr">
        <is>
          <t>Office Admin</t>
        </is>
      </c>
      <c r="E12" s="3" t="inlineStr">
        <is>
          <t>E</t>
        </is>
      </c>
      <c r="F12" s="3" t="inlineStr">
        <is>
          <t>Metro</t>
        </is>
      </c>
      <c r="G12" s="3" t="inlineStr">
        <is>
          <t>Female</t>
        </is>
      </c>
      <c r="H12" s="3" t="n">
        <v>2</v>
      </c>
      <c r="I12" s="5">
        <f>MAX(0,$F$5-MAX(0,H12-$I$5))</f>
        <v/>
      </c>
      <c r="J12" s="6" t="n">
        <v>15200</v>
      </c>
      <c r="K12" s="7" t="n">
        <v>13726</v>
      </c>
      <c r="L12" s="3" t="inlineStr">
        <is>
          <t>ABC Bank 5</t>
        </is>
      </c>
      <c r="M12" s="3" t="inlineStr">
        <is>
          <t>DEF Branch 5</t>
        </is>
      </c>
      <c r="N12" s="3" t="inlineStr">
        <is>
          <t>1000000005</t>
        </is>
      </c>
    </row>
    <row r="13" ht="24" customHeight="1">
      <c r="A13" s="3" t="n">
        <v>6</v>
      </c>
      <c r="B13" s="3" t="inlineStr">
        <is>
          <t>AS2106</t>
        </is>
      </c>
      <c r="C13" s="3" t="inlineStr">
        <is>
          <t>Farhan Patel</t>
        </is>
      </c>
      <c r="D13" s="3" t="inlineStr">
        <is>
          <t>Developer</t>
        </is>
      </c>
      <c r="E13" s="3" t="inlineStr">
        <is>
          <t>F</t>
        </is>
      </c>
      <c r="F13" s="3" t="inlineStr">
        <is>
          <t>Non-Metro</t>
        </is>
      </c>
      <c r="G13" s="3" t="inlineStr">
        <is>
          <t>Male</t>
        </is>
      </c>
      <c r="H13" s="3" t="n">
        <v>2</v>
      </c>
      <c r="I13" s="5">
        <f>MAX(0,$F$5-MAX(0,H13-$I$5))</f>
        <v/>
      </c>
      <c r="J13" s="6" t="n">
        <v>18000</v>
      </c>
      <c r="K13" s="7" t="n">
        <v>16190</v>
      </c>
      <c r="L13" s="3" t="inlineStr">
        <is>
          <t>ABC Bank 6</t>
        </is>
      </c>
      <c r="M13" s="3" t="inlineStr">
        <is>
          <t>DEF Branch 6</t>
        </is>
      </c>
      <c r="N13" s="3" t="inlineStr">
        <is>
          <t>1000000006</t>
        </is>
      </c>
    </row>
    <row r="14" ht="24" customHeight="1">
      <c r="A14" s="3" t="n">
        <v>7</v>
      </c>
      <c r="B14" s="3" t="inlineStr">
        <is>
          <t>AS2107</t>
        </is>
      </c>
      <c r="C14" s="3" t="inlineStr">
        <is>
          <t>Geet Sahu</t>
        </is>
      </c>
      <c r="D14" s="3" t="inlineStr">
        <is>
          <t>Sr. Accountant</t>
        </is>
      </c>
      <c r="E14" s="3" t="inlineStr">
        <is>
          <t>G</t>
        </is>
      </c>
      <c r="F14" s="3" t="inlineStr">
        <is>
          <t>Non-Metro</t>
        </is>
      </c>
      <c r="G14" s="3" t="inlineStr">
        <is>
          <t>Male</t>
        </is>
      </c>
      <c r="H14" s="3" t="n">
        <v>2</v>
      </c>
      <c r="I14" s="5">
        <f>MAX(0,$F$5-MAX(0,H14-$I$5))</f>
        <v/>
      </c>
      <c r="J14" s="6" t="n">
        <v>50000</v>
      </c>
      <c r="K14" s="7" t="n">
        <v>39300</v>
      </c>
      <c r="L14" s="3" t="inlineStr">
        <is>
          <t>ABC Bank 7</t>
        </is>
      </c>
      <c r="M14" s="3" t="inlineStr">
        <is>
          <t>DEF Branch 7</t>
        </is>
      </c>
      <c r="N14" s="3" t="inlineStr">
        <is>
          <t>1000000007</t>
        </is>
      </c>
    </row>
    <row r="15" ht="24" customHeight="1">
      <c r="A15" s="3" t="n">
        <v>8</v>
      </c>
      <c r="B15" s="3" t="inlineStr">
        <is>
          <t>AS2108</t>
        </is>
      </c>
      <c r="C15" s="3" t="inlineStr">
        <is>
          <t>Himesh Surya</t>
        </is>
      </c>
      <c r="D15" s="3" t="inlineStr">
        <is>
          <t>Jr. Accountant</t>
        </is>
      </c>
      <c r="E15" s="3" t="inlineStr">
        <is>
          <t>H</t>
        </is>
      </c>
      <c r="F15" s="3" t="inlineStr">
        <is>
          <t>Non-Metro</t>
        </is>
      </c>
      <c r="G15" s="3" t="inlineStr">
        <is>
          <t>Male</t>
        </is>
      </c>
      <c r="H15" s="3" t="n">
        <v>2</v>
      </c>
      <c r="I15" s="5">
        <f>MAX(0,$F$5-MAX(0,H15-$I$5))</f>
        <v/>
      </c>
      <c r="J15" s="6" t="n">
        <v>35000</v>
      </c>
      <c r="K15" s="7" t="n">
        <v>29100</v>
      </c>
      <c r="L15" s="3" t="inlineStr">
        <is>
          <t>ABC Bank 8</t>
        </is>
      </c>
      <c r="M15" s="3" t="inlineStr">
        <is>
          <t>DEF Branch 8</t>
        </is>
      </c>
      <c r="N15" s="3" t="inlineStr">
        <is>
          <t>1000000008</t>
        </is>
      </c>
    </row>
    <row r="16" ht="24" customHeight="1">
      <c r="A16" s="3" t="n">
        <v>9</v>
      </c>
      <c r="B16" s="3" t="inlineStr">
        <is>
          <t>AS2109</t>
        </is>
      </c>
      <c r="C16" s="3" t="inlineStr">
        <is>
          <t>Imran Abha</t>
        </is>
      </c>
      <c r="D16" s="3" t="inlineStr">
        <is>
          <t>Graphic Designer</t>
        </is>
      </c>
      <c r="E16" s="3" t="inlineStr">
        <is>
          <t>I</t>
        </is>
      </c>
      <c r="F16" s="3" t="inlineStr">
        <is>
          <t>Metro</t>
        </is>
      </c>
      <c r="G16" s="3" t="inlineStr">
        <is>
          <t>Male</t>
        </is>
      </c>
      <c r="H16" s="3" t="n">
        <v>2</v>
      </c>
      <c r="I16" s="5">
        <f>MAX(0,$F$5-MAX(0,H16-$I$5))</f>
        <v/>
      </c>
      <c r="J16" s="6" t="n">
        <v>15000</v>
      </c>
      <c r="K16" s="7" t="n">
        <v>12050</v>
      </c>
      <c r="L16" s="3" t="inlineStr">
        <is>
          <t>ABC Bank 9</t>
        </is>
      </c>
      <c r="M16" s="3" t="inlineStr">
        <is>
          <t>DEF Branch 9</t>
        </is>
      </c>
      <c r="N16" s="3" t="inlineStr">
        <is>
          <t>1000000009</t>
        </is>
      </c>
    </row>
    <row r="17" ht="24" customHeight="1">
      <c r="A17" s="3" t="n">
        <v>10</v>
      </c>
      <c r="B17" s="3" t="inlineStr">
        <is>
          <t>AS2110</t>
        </is>
      </c>
      <c r="C17" s="3" t="inlineStr">
        <is>
          <t>Jitendra Pande</t>
        </is>
      </c>
      <c r="D17" s="3" t="inlineStr">
        <is>
          <t>HR Head</t>
        </is>
      </c>
      <c r="E17" s="3" t="inlineStr">
        <is>
          <t>J</t>
        </is>
      </c>
      <c r="F17" s="3" t="inlineStr">
        <is>
          <t>Metro</t>
        </is>
      </c>
      <c r="G17" s="3" t="inlineStr">
        <is>
          <t>Male</t>
        </is>
      </c>
      <c r="H17" s="3" t="n">
        <v>2</v>
      </c>
      <c r="I17" s="5">
        <f>MAX(0,$F$5-MAX(0,H17-$I$5))</f>
        <v/>
      </c>
      <c r="J17" s="6" t="n">
        <v>13500</v>
      </c>
      <c r="K17" s="7" t="n">
        <v>7200</v>
      </c>
      <c r="L17" s="3" t="inlineStr">
        <is>
          <t>ABC Bank 10</t>
        </is>
      </c>
      <c r="M17" s="3" t="inlineStr">
        <is>
          <t>DEF Branch 10</t>
        </is>
      </c>
      <c r="N17" s="3" t="inlineStr">
        <is>
          <t>1000000010</t>
        </is>
      </c>
    </row>
    <row r="18" ht="24" customHeight="1">
      <c r="A18" s="3" t="n">
        <v>11</v>
      </c>
      <c r="B18" s="3" t="inlineStr">
        <is>
          <t>AS2111</t>
        </is>
      </c>
      <c r="C18" s="3" t="inlineStr">
        <is>
          <t>Kailash Rane</t>
        </is>
      </c>
      <c r="D18" s="3" t="inlineStr">
        <is>
          <t>Manager</t>
        </is>
      </c>
      <c r="E18" s="3" t="inlineStr">
        <is>
          <t>K</t>
        </is>
      </c>
      <c r="F18" s="3" t="inlineStr">
        <is>
          <t>Metro</t>
        </is>
      </c>
      <c r="G18" s="3" t="inlineStr">
        <is>
          <t>Male</t>
        </is>
      </c>
      <c r="H18" s="3" t="n">
        <v>3</v>
      </c>
      <c r="I18" s="5">
        <f>MAX(0,$F$5-MAX(0,H18-$I$5))</f>
        <v/>
      </c>
      <c r="J18" s="6" t="n">
        <v>28000</v>
      </c>
      <c r="K18" s="7" t="n">
        <v>21330</v>
      </c>
      <c r="L18" s="3" t="inlineStr">
        <is>
          <t>ABC Bank 11</t>
        </is>
      </c>
      <c r="M18" s="3" t="inlineStr">
        <is>
          <t>DEF Branch 11</t>
        </is>
      </c>
      <c r="N18" s="3" t="inlineStr">
        <is>
          <t>1000000011</t>
        </is>
      </c>
    </row>
    <row r="19" ht="24" customHeight="1">
      <c r="A19" s="3" t="n">
        <v>12</v>
      </c>
      <c r="B19" s="3" t="inlineStr">
        <is>
          <t>AS2112</t>
        </is>
      </c>
      <c r="C19" s="3" t="inlineStr">
        <is>
          <t>Luv Patel</t>
        </is>
      </c>
      <c r="D19" s="3" t="inlineStr">
        <is>
          <t>Delivery Boy</t>
        </is>
      </c>
      <c r="E19" s="3" t="inlineStr">
        <is>
          <t>L</t>
        </is>
      </c>
      <c r="F19" s="3" t="inlineStr">
        <is>
          <t>Metro</t>
        </is>
      </c>
      <c r="G19" s="3" t="inlineStr">
        <is>
          <t>Male</t>
        </is>
      </c>
      <c r="H19" s="3" t="n">
        <v>10</v>
      </c>
      <c r="I19" s="5">
        <f>MAX(0,$F$5-MAX(0,H19-$I$5))</f>
        <v/>
      </c>
      <c r="J19" s="6" t="n">
        <v>10000</v>
      </c>
      <c r="K19" s="7" t="n">
        <v>6194</v>
      </c>
      <c r="L19" s="3" t="inlineStr">
        <is>
          <t>ABC Bank 12</t>
        </is>
      </c>
      <c r="M19" s="3" t="inlineStr">
        <is>
          <t>DEF Branch 12</t>
        </is>
      </c>
      <c r="N19" s="3" t="inlineStr">
        <is>
          <t>1000000012</t>
        </is>
      </c>
    </row>
    <row r="20" ht="24" customHeight="1">
      <c r="A20" s="3" t="n">
        <v>13</v>
      </c>
      <c r="B20" s="3" t="inlineStr">
        <is>
          <t>AS2113</t>
        </is>
      </c>
      <c r="C20" s="3" t="inlineStr">
        <is>
          <t>Manoj Bhide</t>
        </is>
      </c>
      <c r="D20" s="3" t="inlineStr">
        <is>
          <t>Peon</t>
        </is>
      </c>
      <c r="E20" s="3" t="inlineStr">
        <is>
          <t>M</t>
        </is>
      </c>
      <c r="F20" s="3" t="inlineStr">
        <is>
          <t>Metro</t>
        </is>
      </c>
      <c r="G20" s="3" t="inlineStr">
        <is>
          <t>Male</t>
        </is>
      </c>
      <c r="H20" s="3" t="n">
        <v>5</v>
      </c>
      <c r="I20" s="5">
        <f>MAX(0,$F$5-MAX(0,H20-$I$5))</f>
        <v/>
      </c>
      <c r="J20" s="6" t="n">
        <v>10000</v>
      </c>
      <c r="K20" s="7" t="n">
        <v>8494</v>
      </c>
      <c r="L20" s="3" t="inlineStr">
        <is>
          <t>ABC Bank 13</t>
        </is>
      </c>
      <c r="M20" s="3" t="inlineStr">
        <is>
          <t>DEF Branch 13</t>
        </is>
      </c>
      <c r="N20" s="3" t="inlineStr">
        <is>
          <t>1000000013</t>
        </is>
      </c>
    </row>
    <row r="21" ht="24" customHeight="1">
      <c r="A21" s="3" t="n">
        <v>14</v>
      </c>
      <c r="B21" s="3" t="inlineStr">
        <is>
          <t>AS2114</t>
        </is>
      </c>
      <c r="C21" s="3" t="inlineStr">
        <is>
          <t>Nancy Pastor</t>
        </is>
      </c>
      <c r="D21" s="3" t="inlineStr">
        <is>
          <t>Graphic Designer</t>
        </is>
      </c>
      <c r="E21" s="3" t="inlineStr">
        <is>
          <t>N</t>
        </is>
      </c>
      <c r="F21" s="3" t="inlineStr">
        <is>
          <t>Metro</t>
        </is>
      </c>
      <c r="G21" s="3" t="inlineStr">
        <is>
          <t>Female</t>
        </is>
      </c>
      <c r="H21" s="3" t="n">
        <v>4</v>
      </c>
      <c r="I21" s="5">
        <f>MAX(0,$F$5-MAX(0,H21-$I$5))</f>
        <v/>
      </c>
      <c r="J21" s="6" t="n">
        <v>18000</v>
      </c>
      <c r="K21" s="7" t="n">
        <v>16010</v>
      </c>
      <c r="L21" s="3" t="inlineStr">
        <is>
          <t>ABC Bank 14</t>
        </is>
      </c>
      <c r="M21" s="3" t="inlineStr">
        <is>
          <t>DEF Branch 14</t>
        </is>
      </c>
      <c r="N21" s="3" t="inlineStr">
        <is>
          <t>1000000014</t>
        </is>
      </c>
    </row>
    <row r="22" ht="24" customHeight="1">
      <c r="A22" s="3" t="n">
        <v>15</v>
      </c>
      <c r="B22" s="3" t="inlineStr">
        <is>
          <t>AS2115</t>
        </is>
      </c>
      <c r="C22" s="3" t="inlineStr">
        <is>
          <t>Omar Shaikh</t>
        </is>
      </c>
      <c r="D22" s="3" t="inlineStr">
        <is>
          <t>Sr. Developer</t>
        </is>
      </c>
      <c r="E22" s="3" t="inlineStr">
        <is>
          <t>O</t>
        </is>
      </c>
      <c r="F22" s="3" t="inlineStr">
        <is>
          <t>Metro</t>
        </is>
      </c>
      <c r="G22" s="3" t="inlineStr">
        <is>
          <t>Male</t>
        </is>
      </c>
      <c r="H22" s="3" t="n">
        <v>2</v>
      </c>
      <c r="I22" s="5">
        <f>MAX(0,$F$5-MAX(0,H22-$I$5))</f>
        <v/>
      </c>
      <c r="J22" s="6" t="n">
        <v>26000</v>
      </c>
      <c r="K22" s="7" t="n">
        <v>23180</v>
      </c>
      <c r="L22" s="3" t="inlineStr">
        <is>
          <t>ABC Bank 15</t>
        </is>
      </c>
      <c r="M22" s="3" t="inlineStr">
        <is>
          <t>DEF Branch 15</t>
        </is>
      </c>
      <c r="N22" s="3" t="inlineStr">
        <is>
          <t>1000000015</t>
        </is>
      </c>
    </row>
    <row r="23" ht="24" customHeight="1">
      <c r="A23" s="3" t="n">
        <v>16</v>
      </c>
      <c r="B23" s="3" t="inlineStr">
        <is>
          <t>AS2116</t>
        </is>
      </c>
      <c r="C23" s="3" t="inlineStr">
        <is>
          <t>Preetam Chawla</t>
        </is>
      </c>
      <c r="D23" s="3" t="inlineStr">
        <is>
          <t>Developer</t>
        </is>
      </c>
      <c r="E23" s="3" t="inlineStr">
        <is>
          <t>P</t>
        </is>
      </c>
      <c r="F23" s="3" t="inlineStr">
        <is>
          <t>Metro</t>
        </is>
      </c>
      <c r="G23" s="3" t="inlineStr">
        <is>
          <t>Male</t>
        </is>
      </c>
      <c r="H23" s="3" t="n">
        <v>2</v>
      </c>
      <c r="I23" s="5">
        <f>MAX(0,$F$5-MAX(0,H23-$I$5))</f>
        <v/>
      </c>
      <c r="J23" s="6" t="n">
        <v>22000</v>
      </c>
      <c r="K23" s="7" t="n">
        <v>19660</v>
      </c>
      <c r="L23" s="3" t="inlineStr">
        <is>
          <t>ABC Bank 16</t>
        </is>
      </c>
      <c r="M23" s="3" t="inlineStr">
        <is>
          <t>DEF Branch 16</t>
        </is>
      </c>
      <c r="N23" s="3" t="inlineStr">
        <is>
          <t>1000000016</t>
        </is>
      </c>
    </row>
    <row r="24" ht="24" customHeight="1">
      <c r="A24" s="3" t="n">
        <v>17</v>
      </c>
      <c r="B24" s="3" t="inlineStr">
        <is>
          <t>AS2117</t>
        </is>
      </c>
      <c r="C24" s="3" t="inlineStr">
        <is>
          <t>Ram Vihan</t>
        </is>
      </c>
      <c r="D24" s="3" t="inlineStr">
        <is>
          <t>Developer</t>
        </is>
      </c>
      <c r="E24" s="3" t="inlineStr">
        <is>
          <t>Q</t>
        </is>
      </c>
      <c r="F24" s="3" t="inlineStr">
        <is>
          <t>Metro</t>
        </is>
      </c>
      <c r="G24" s="3" t="inlineStr">
        <is>
          <t>Male</t>
        </is>
      </c>
      <c r="H24" s="3" t="n">
        <v>2</v>
      </c>
      <c r="I24" s="5">
        <f>MAX(0,$F$5-MAX(0,H24-$I$5))</f>
        <v/>
      </c>
      <c r="J24" s="6" t="n">
        <v>25000</v>
      </c>
      <c r="K24" s="7" t="n">
        <v>22100</v>
      </c>
      <c r="L24" s="3" t="inlineStr">
        <is>
          <t>ABC Bank 17</t>
        </is>
      </c>
      <c r="M24" s="3" t="inlineStr">
        <is>
          <t>DEF Branch 17</t>
        </is>
      </c>
      <c r="N24" s="3" t="inlineStr">
        <is>
          <t>1000000017</t>
        </is>
      </c>
    </row>
  </sheetData>
  <autoFilter ref="A7:N24"/>
  <mergeCells count="3">
    <mergeCell ref="A1:O1"/>
    <mergeCell ref="B3:O3"/>
    <mergeCell ref="B2:O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85" customWidth="1" min="3" max="3"/>
  </cols>
  <sheetData>
    <row r="1">
      <c r="A1" s="8" t="inlineStr">
        <is>
          <t>Column</t>
        </is>
      </c>
      <c r="B1" s="8" t="inlineStr">
        <is>
          <t>Formula / Rule</t>
        </is>
      </c>
      <c r="C1" s="8" t="inlineStr">
        <is>
          <t>Explanation</t>
        </is>
      </c>
    </row>
    <row r="2">
      <c r="A2" s="9" t="inlineStr">
        <is>
          <t>Days Payable</t>
        </is>
      </c>
      <c r="B2" s="9">
        <f>MAX(0, Working Days - MAX(0, Leave Taken - Allowed Leaves))</f>
        <v/>
      </c>
      <c r="C2" s="9" t="inlineStr">
        <is>
          <t>Calculates payable days after deducting leave beyond the allowed leave limit.</t>
        </is>
      </c>
    </row>
    <row r="3">
      <c r="A3" s="9" t="inlineStr">
        <is>
          <t>CTC January 2021</t>
        </is>
      </c>
      <c r="B3" s="9" t="inlineStr">
        <is>
          <t>Sample values from the image</t>
        </is>
      </c>
      <c r="C3" s="9" t="inlineStr">
        <is>
          <t>Edit these values to match your own employees.</t>
        </is>
      </c>
    </row>
    <row r="4">
      <c r="A4" s="9" t="inlineStr">
        <is>
          <t>Net Salary</t>
        </is>
      </c>
      <c r="B4" s="9" t="inlineStr">
        <is>
          <t>Sample values from the image</t>
        </is>
      </c>
      <c r="C4" s="9" t="inlineStr">
        <is>
          <t>The screenshot does not provide enough information to derive a reliable net salary formula, so the shown values are entered as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2026-10-21T06:33:32Z</dcterms:created>
  <dcterms:modified xmlns:dcterms="http://purl.org/dc/terms/" xmlns:xsi="http://www.w3.org/2001/XMLSchema-instance" xsi:type="dcterms:W3CDTF">2026-10-21T06:33:32Z</dcterms:modified>
</cp:coreProperties>
</file>